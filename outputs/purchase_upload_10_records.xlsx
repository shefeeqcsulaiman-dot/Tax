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 Upload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color rgb="FFFFFFFF"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Xfs count="6">
    <xf numFmtId="0" fontId="0" fillId="0" borderId="0"/>
    <xf numFmtId="0" fontId="1" fillId="2" borderId="1" applyFill="1" applyFont="1" applyBorder="1"/>
    <xf numFmtId="164" fontId="0" fillId="0" borderId="1" applyNumberFormat="1" applyBorder="1"/>
    <xf numFmtId="4" fontId="0" fillId="0" borderId="1" applyNumberFormat="1" applyBorder="1"/>
    <xf numFmtId="0" fontId="2" fillId="0" borderId="0" applyFont="1"/>
    <xf numFmtId="0" fontId="0" fillId="3" border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4"/>
  <sheetViews>
    <sheetView workbookViewId="0">
      <pane ySplit="4" topLeftCell="A5" activePane="bottomLeft" state="frozen"/>
    </sheetView>
  </sheetViews>
  <cols>
    <col min="1" max="1" width="16" customWidth="1"/>
    <col min="2" max="2" width="14" customWidth="1"/>
    <col min="3" max="3" width="20" customWidth="1"/>
    <col min="4" max="4" width="24" customWidth="1"/>
    <col min="5" max="5" width="14" customWidth="1"/>
    <col min="6" max="6" width="26" customWidth="1"/>
    <col min="7" max="7" width="18" customWidth="1"/>
    <col min="8" max="8" width="12" customWidth="1"/>
    <col min="9" max="9" width="12" customWidth="1"/>
    <col min="10" max="10" width="18" customWidth="1"/>
    <col min="11" max="11" width="12" customWidth="1"/>
    <col min="12" max="12" width="18" customWidth="1"/>
    <col min="13" max="13" width="14" customWidth="1"/>
    <col min="14" max="14" width="14" customWidth="1"/>
    <col min="15" max="15" width="18" customWidth="1"/>
    <col min="16" max="16" width="14" customWidth="1"/>
    <col min="17" max="17" width="14" customWidth="1"/>
    <col min="18" max="18" width="14" customWidth="1"/>
    <col min="19" max="19" width="20" customWidth="1"/>
    <col min="20" max="20" width="14" customWidth="1"/>
    <col min="21" max="21" width="14" customWidth="1"/>
    <col min="22" max="22" width="14" customWidth="1"/>
    <col min="23" max="23" width="16" customWidth="1"/>
    <col min="24" max="24" width="16" customWidth="1"/>
    <col min="25" max="25" width="20" customWidth="1"/>
    <col min="26" max="26" width="24" customWidth="1"/>
    <col min="27" max="27" width="14" customWidth="1"/>
  </cols>
  <sheetData>
    <row r="1">
      <c r="A1" t="inlineStr" s="4">
        <is>
          <t>Purchase Upload Sample - 10 Records</t>
        </is>
      </c>
    </row>
    <row r="2">
      <c r="A2" t="inlineStr" s="5">
        <is>
          <t>Upload this .xlsx in Purchases &gt; Upload, then run AI Extract.</t>
        </is>
      </c>
    </row>
    <row r="4">
      <c r="A4" t="inlineStr">
        <is>
          <t>Invoice No.</t>
        </is>
      </c>
      <c r="B4" t="inlineStr">
        <is>
          <t>Purchase Date</t>
        </is>
      </c>
      <c r="C4" t="inlineStr">
        <is>
          <t>Supplier</t>
        </is>
      </c>
      <c r="D4" t="inlineStr">
        <is>
          <t>Address</t>
        </is>
      </c>
      <c r="E4" t="inlineStr">
        <is>
          <t>Pay Term</t>
        </is>
      </c>
      <c r="F4" t="inlineStr">
        <is>
          <t>Product Name</t>
        </is>
      </c>
      <c r="G4" t="inlineStr">
        <is>
          <t>Category</t>
        </is>
      </c>
      <c r="H4" t="inlineStr">
        <is>
          <t>Purchase Quantity</t>
        </is>
      </c>
      <c r="I4" t="inlineStr">
        <is>
          <t>Unit of Measure</t>
        </is>
      </c>
      <c r="J4" t="inlineStr">
        <is>
          <t>Unit Cost Before Discount</t>
        </is>
      </c>
      <c r="K4" t="inlineStr">
        <is>
          <t>Discount %</t>
        </is>
      </c>
      <c r="L4" t="inlineStr">
        <is>
          <t>Unit Cost Before Tax</t>
        </is>
      </c>
      <c r="M4" t="inlineStr">
        <is>
          <t>Line Total</t>
        </is>
      </c>
      <c r="N4" t="inlineStr">
        <is>
          <t>Profit Margin %</t>
        </is>
      </c>
      <c r="O4" t="inlineStr">
        <is>
          <t>Unit Selling Price Inc. Tax</t>
        </is>
      </c>
      <c r="P4" t="inlineStr">
        <is>
          <t>Discount Type</t>
        </is>
      </c>
      <c r="Q4" t="inlineStr">
        <is>
          <t>Discount Amount</t>
        </is>
      </c>
      <c r="R4" t="inlineStr">
        <is>
          <t>Purchase Tax</t>
        </is>
      </c>
      <c r="S4" t="inlineStr">
        <is>
          <t>Shipping Details</t>
        </is>
      </c>
      <c r="T4" t="inlineStr">
        <is>
          <t>Shipping Charges</t>
        </is>
      </c>
      <c r="U4" t="inlineStr">
        <is>
          <t>Paid Amount</t>
        </is>
      </c>
      <c r="V4" t="inlineStr">
        <is>
          <t>Paid On</t>
        </is>
      </c>
      <c r="W4" t="inlineStr">
        <is>
          <t>Payment Method</t>
        </is>
      </c>
      <c r="X4" t="inlineStr">
        <is>
          <t>Payment Account</t>
        </is>
      </c>
      <c r="Y4" t="inlineStr">
        <is>
          <t>Payment Note</t>
        </is>
      </c>
      <c r="Z4" t="inlineStr">
        <is>
          <t>Notes</t>
        </is>
      </c>
      <c r="AA4" t="inlineStr">
        <is>
          <t>Payment Due</t>
        </is>
      </c>
    </row>
    <row r="5">
      <c r="A5" t="inlineStr">
        <is>
          <t>PUR-2026-0001</t>
        </is>
      </c>
      <c r="B5" s="2">
        <v>46143</v>
      </c>
      <c r="C5" t="inlineStr">
        <is>
          <t>Gulf Fresh Foods</t>
        </is>
      </c>
      <c r="D5" t="inlineStr">
        <is>
          <t>Al Quoz, Dubai</t>
        </is>
      </c>
      <c r="E5" t="inlineStr">
        <is>
          <t>Net 15</t>
        </is>
      </c>
      <c r="F5" t="inlineStr">
        <is>
          <t>Basmati Rice 25kg</t>
        </is>
      </c>
      <c r="G5" t="inlineStr">
        <is>
          <t>Food Staples</t>
        </is>
      </c>
      <c r="H5" s="3">
        <v>12</v>
      </c>
      <c r="I5" t="inlineStr">
        <is>
          <t>BAG</t>
        </is>
      </c>
      <c r="J5" s="3">
        <v>78.0</v>
      </c>
      <c r="K5" s="3">
        <v>2</v>
      </c>
      <c r="N5" s="3">
        <v>18</v>
      </c>
      <c r="P5" t="inlineStr">
        <is>
          <t>None</t>
        </is>
      </c>
      <c r="Q5" s="3">
        <v>0</v>
      </c>
      <c r="R5" t="inlineStr">
        <is>
          <t>VAT 5%</t>
        </is>
      </c>
      <c r="S5" t="inlineStr">
        <is>
          <t>Store delivery</t>
        </is>
      </c>
      <c r="T5" s="3">
        <v>35</v>
      </c>
      <c r="U5" s="3">
        <v>500</v>
      </c>
      <c r="V5" s="2">
        <v>46143</v>
      </c>
      <c r="W5" t="inlineStr">
        <is>
          <t>Bank Transfer</t>
        </is>
      </c>
      <c r="X5" t="inlineStr">
        <is>
          <t>Emirates NBD</t>
        </is>
      </c>
      <c r="Y5" t="inlineStr">
        <is>
          <t>Advance paid</t>
        </is>
      </c>
      <c r="Z5" t="inlineStr">
        <is>
          <t>Monthly stock purchase</t>
        </is>
      </c>
      <c r="L5" s="3">
        <f>J5*(1-K5/100)</f>
      </c>
      <c r="M5" s="3">
        <f>H5*L5</f>
      </c>
      <c r="O5" s="3">
        <f>L5*(1+N5/100)*1.05</f>
      </c>
      <c r="AA5" s="3">
        <f>MAX(0,(M5-Q5)+R5+T5-U5)</f>
      </c>
    </row>
    <row r="6">
      <c r="A6" t="inlineStr">
        <is>
          <t>PUR-2026-0002</t>
        </is>
      </c>
      <c r="B6" s="2">
        <v>46144</v>
      </c>
      <c r="C6" t="inlineStr">
        <is>
          <t>Al Noor Packaging</t>
        </is>
      </c>
      <c r="D6" t="inlineStr">
        <is>
          <t>Industrial Area, Sharjah</t>
        </is>
      </c>
      <c r="E6" t="inlineStr">
        <is>
          <t>Net 30</t>
        </is>
      </c>
      <c r="F6" t="inlineStr">
        <is>
          <t>Paper Cups 250ml</t>
        </is>
      </c>
      <c r="G6" t="inlineStr">
        <is>
          <t>Packaging</t>
        </is>
      </c>
      <c r="H6" s="3">
        <v>40</v>
      </c>
      <c r="I6" t="inlineStr">
        <is>
          <t>CTN</t>
        </is>
      </c>
      <c r="J6" s="3">
        <v>22.5</v>
      </c>
      <c r="K6" s="3">
        <v>0</v>
      </c>
      <c r="N6" s="3">
        <v>25</v>
      </c>
      <c r="P6" t="inlineStr">
        <is>
          <t>Fixed</t>
        </is>
      </c>
      <c r="Q6" s="3">
        <v>20</v>
      </c>
      <c r="R6" t="inlineStr">
        <is>
          <t>VAT 5%</t>
        </is>
      </c>
      <c r="S6" t="inlineStr">
        <is>
          <t>Courier</t>
        </is>
      </c>
      <c r="T6" s="3">
        <v>15</v>
      </c>
      <c r="U6" s="3">
        <v>0</v>
      </c>
      <c r="V6" t="inlineStr">
        <is>
          <t/>
        </is>
      </c>
      <c r="W6" t="inlineStr">
        <is>
          <t>Cash</t>
        </is>
      </c>
      <c r="X6" t="inlineStr">
        <is>
          <t>None</t>
        </is>
      </c>
      <c r="Y6" t="inlineStr">
        <is>
          <t/>
        </is>
      </c>
      <c r="Z6" t="inlineStr">
        <is>
          <t>For cafe counter</t>
        </is>
      </c>
      <c r="L6" s="3">
        <f>J6*(1-K6/100)</f>
      </c>
      <c r="M6" s="3">
        <f>H6*L6</f>
      </c>
      <c r="O6" s="3">
        <f>L6*(1+N6/100)*1.05</f>
      </c>
      <c r="AA6" s="3">
        <f>MAX(0,(M6-Q6)+R6+T6-U6)</f>
      </c>
    </row>
    <row r="7">
      <c r="A7" t="inlineStr">
        <is>
          <t>PUR-2026-0003</t>
        </is>
      </c>
      <c r="B7" s="2">
        <v>46145</v>
      </c>
      <c r="C7" t="inlineStr">
        <is>
          <t>Dubai Cleaning Supply</t>
        </is>
      </c>
      <c r="D7" t="inlineStr">
        <is>
          <t>Deira, Dubai</t>
        </is>
      </c>
      <c r="E7" t="inlineStr">
        <is>
          <t>Due on receipt</t>
        </is>
      </c>
      <c r="F7" t="inlineStr">
        <is>
          <t>Floor Cleaner 5L</t>
        </is>
      </c>
      <c r="G7" t="inlineStr">
        <is>
          <t>Cleaning</t>
        </is>
      </c>
      <c r="H7" s="3">
        <v>18</v>
      </c>
      <c r="I7" t="inlineStr">
        <is>
          <t>LTR</t>
        </is>
      </c>
      <c r="J7" s="3">
        <v>16.75</v>
      </c>
      <c r="K7" s="3">
        <v>5</v>
      </c>
      <c r="N7" s="3">
        <v>20</v>
      </c>
      <c r="P7" t="inlineStr">
        <is>
          <t>None</t>
        </is>
      </c>
      <c r="Q7" s="3">
        <v>0</v>
      </c>
      <c r="R7" t="inlineStr">
        <is>
          <t>VAT 5%</t>
        </is>
      </c>
      <c r="S7" t="inlineStr">
        <is>
          <t>Supplier van</t>
        </is>
      </c>
      <c r="T7" s="3">
        <v>0</v>
      </c>
      <c r="U7" s="3">
        <v>316.0</v>
      </c>
      <c r="V7" s="2">
        <v>46145</v>
      </c>
      <c r="W7" t="inlineStr">
        <is>
          <t>Card</t>
        </is>
      </c>
      <c r="X7" t="inlineStr">
        <is>
          <t>FAB</t>
        </is>
      </c>
      <c r="Y7" t="inlineStr">
        <is>
          <t>Paid at counter</t>
        </is>
      </c>
      <c r="Z7" t="inlineStr">
        <is>
          <t>Housekeeping supplies</t>
        </is>
      </c>
      <c r="L7" s="3">
        <f>J7*(1-K7/100)</f>
      </c>
      <c r="M7" s="3">
        <f>H7*L7</f>
      </c>
      <c r="O7" s="3">
        <f>L7*(1+N7/100)*1.05</f>
      </c>
      <c r="AA7" s="3">
        <f>MAX(0,(M7-Q7)+R7+T7-U7)</f>
      </c>
    </row>
    <row r="8">
      <c r="A8" t="inlineStr">
        <is>
          <t>PUR-2026-0004</t>
        </is>
      </c>
      <c r="B8" s="2">
        <v>46146</v>
      </c>
      <c r="C8" t="inlineStr">
        <is>
          <t>Tech Office UAE</t>
        </is>
      </c>
      <c r="D8" t="inlineStr">
        <is>
          <t>Business Bay, Dubai</t>
        </is>
      </c>
      <c r="E8" t="inlineStr">
        <is>
          <t>Net 15</t>
        </is>
      </c>
      <c r="F8" t="inlineStr">
        <is>
          <t>Barcode Labels Roll</t>
        </is>
      </c>
      <c r="G8" t="inlineStr">
        <is>
          <t>Office Supplies</t>
        </is>
      </c>
      <c r="H8" s="3">
        <v>25</v>
      </c>
      <c r="I8" t="inlineStr">
        <is>
          <t>ROLL</t>
        </is>
      </c>
      <c r="J8" s="3">
        <v>9.8</v>
      </c>
      <c r="K8" s="3">
        <v>0</v>
      </c>
      <c r="N8" s="3">
        <v>30</v>
      </c>
      <c r="P8" t="inlineStr">
        <is>
          <t>Percentage</t>
        </is>
      </c>
      <c r="Q8" s="3">
        <v>3</v>
      </c>
      <c r="R8" t="inlineStr">
        <is>
          <t>VAT 5%</t>
        </is>
      </c>
      <c r="S8" t="inlineStr">
        <is>
          <t>Standard delivery</t>
        </is>
      </c>
      <c r="T8" s="3">
        <v>20</v>
      </c>
      <c r="U8" s="3">
        <v>0</v>
      </c>
      <c r="V8" t="inlineStr">
        <is>
          <t/>
        </is>
      </c>
      <c r="W8" t="inlineStr">
        <is>
          <t>Bank Transfer</t>
        </is>
      </c>
      <c r="X8" t="inlineStr">
        <is>
          <t>Emirates NBD</t>
        </is>
      </c>
      <c r="Y8" t="inlineStr">
        <is>
          <t/>
        </is>
      </c>
      <c r="Z8" t="inlineStr">
        <is>
          <t>Inventory labels</t>
        </is>
      </c>
      <c r="L8" s="3">
        <f>J8*(1-K8/100)</f>
      </c>
      <c r="M8" s="3">
        <f>H8*L8</f>
      </c>
      <c r="O8" s="3">
        <f>L8*(1+N8/100)*1.05</f>
      </c>
      <c r="AA8" s="3">
        <f>MAX(0,(M8-Q8)+R8+T8-U8)</f>
      </c>
    </row>
    <row r="9">
      <c r="A9" t="inlineStr">
        <is>
          <t>PUR-2026-0005</t>
        </is>
      </c>
      <c r="B9" s="2">
        <v>46147</v>
      </c>
      <c r="C9" t="inlineStr">
        <is>
          <t>Prime Dairy Trading</t>
        </is>
      </c>
      <c r="D9" t="inlineStr">
        <is>
          <t>Ras Al Khor, Dubai</t>
        </is>
      </c>
      <c r="E9" t="inlineStr">
        <is>
          <t>Net 15</t>
        </is>
      </c>
      <c r="F9" t="inlineStr">
        <is>
          <t>Fresh Milk 1L</t>
        </is>
      </c>
      <c r="G9" t="inlineStr">
        <is>
          <t>Dairy</t>
        </is>
      </c>
      <c r="H9" s="3">
        <v>90</v>
      </c>
      <c r="I9" t="inlineStr">
        <is>
          <t>PCS</t>
        </is>
      </c>
      <c r="J9" s="3">
        <v>4.2</v>
      </c>
      <c r="K9" s="3">
        <v>1</v>
      </c>
      <c r="N9" s="3">
        <v>12</v>
      </c>
      <c r="P9" t="inlineStr">
        <is>
          <t>None</t>
        </is>
      </c>
      <c r="Q9" s="3">
        <v>0</v>
      </c>
      <c r="R9" t="inlineStr">
        <is>
          <t>VAT 5%</t>
        </is>
      </c>
      <c r="S9" t="inlineStr">
        <is>
          <t>Cold chain</t>
        </is>
      </c>
      <c r="T9" s="3">
        <v>45</v>
      </c>
      <c r="U9" s="3">
        <v>250</v>
      </c>
      <c r="V9" s="2">
        <v>46147</v>
      </c>
      <c r="W9" t="inlineStr">
        <is>
          <t>Online</t>
        </is>
      </c>
      <c r="X9" t="inlineStr">
        <is>
          <t>FAB</t>
        </is>
      </c>
      <c r="Y9" t="inlineStr">
        <is>
          <t>Partial payment</t>
        </is>
      </c>
      <c r="Z9" t="inlineStr">
        <is>
          <t>Daily dairy supply</t>
        </is>
      </c>
      <c r="L9" s="3">
        <f>J9*(1-K9/100)</f>
      </c>
      <c r="M9" s="3">
        <f>H9*L9</f>
      </c>
      <c r="O9" s="3">
        <f>L9*(1+N9/100)*1.05</f>
      </c>
      <c r="AA9" s="3">
        <f>MAX(0,(M9-Q9)+R9+T9-U9)</f>
      </c>
    </row>
    <row r="10">
      <c r="A10" t="inlineStr">
        <is>
          <t>PUR-2026-0006</t>
        </is>
      </c>
      <c r="B10" s="2">
        <v>46148</v>
      </c>
      <c r="C10" t="inlineStr">
        <is>
          <t>Green Farm Produce</t>
        </is>
      </c>
      <c r="D10" t="inlineStr">
        <is>
          <t>Al Ain</t>
        </is>
      </c>
      <c r="E10" t="inlineStr">
        <is>
          <t>Net 30</t>
        </is>
      </c>
      <c r="F10" t="inlineStr">
        <is>
          <t>Tomato Premium Box</t>
        </is>
      </c>
      <c r="G10" t="inlineStr">
        <is>
          <t>Vegetables</t>
        </is>
      </c>
      <c r="H10" s="3">
        <v>30</v>
      </c>
      <c r="I10" t="inlineStr">
        <is>
          <t>BOX</t>
        </is>
      </c>
      <c r="J10" s="3">
        <v>18.0</v>
      </c>
      <c r="K10" s="3">
        <v>0</v>
      </c>
      <c r="N10" s="3">
        <v>22</v>
      </c>
      <c r="P10" t="inlineStr">
        <is>
          <t>Fixed</t>
        </is>
      </c>
      <c r="Q10" s="3">
        <v>10</v>
      </c>
      <c r="R10" t="inlineStr">
        <is>
          <t>VAT 5%</t>
        </is>
      </c>
      <c r="S10" t="inlineStr">
        <is>
          <t>Refrigerated truck</t>
        </is>
      </c>
      <c r="T10" s="3">
        <v>60</v>
      </c>
      <c r="U10" s="3">
        <v>0</v>
      </c>
      <c r="V10" t="inlineStr">
        <is>
          <t/>
        </is>
      </c>
      <c r="W10" t="inlineStr">
        <is>
          <t>Cheque</t>
        </is>
      </c>
      <c r="X10" t="inlineStr">
        <is>
          <t>None</t>
        </is>
      </c>
      <c r="Y10" t="inlineStr">
        <is>
          <t>Cheque pending</t>
        </is>
      </c>
      <c r="Z10" t="inlineStr">
        <is>
          <t>Fresh produce</t>
        </is>
      </c>
      <c r="L10" s="3">
        <f>J10*(1-K10/100)</f>
      </c>
      <c r="M10" s="3">
        <f>H10*L10</f>
      </c>
      <c r="O10" s="3">
        <f>L10*(1+N10/100)*1.05</f>
      </c>
      <c r="AA10" s="3">
        <f>MAX(0,(M10-Q10)+R10+T10-U10)</f>
      </c>
    </row>
    <row r="11">
      <c r="A11" t="inlineStr">
        <is>
          <t>PUR-2026-0007</t>
        </is>
      </c>
      <c r="B11" s="2">
        <v>46149</v>
      </c>
      <c r="C11" t="inlineStr">
        <is>
          <t>Emirates Hardware</t>
        </is>
      </c>
      <c r="D11" t="inlineStr">
        <is>
          <t>Mussafah, Abu Dhabi</t>
        </is>
      </c>
      <c r="E11" t="inlineStr">
        <is>
          <t>Net 45</t>
        </is>
      </c>
      <c r="F11" t="inlineStr">
        <is>
          <t>Stainless Steel Shelf</t>
        </is>
      </c>
      <c r="G11" t="inlineStr">
        <is>
          <t>Fixtures</t>
        </is>
      </c>
      <c r="H11" s="3">
        <v>6</v>
      </c>
      <c r="I11" t="inlineStr">
        <is>
          <t>PCS</t>
        </is>
      </c>
      <c r="J11" s="3">
        <v>145.0</v>
      </c>
      <c r="K11" s="3">
        <v>4</v>
      </c>
      <c r="N11" s="3">
        <v>35</v>
      </c>
      <c r="P11" t="inlineStr">
        <is>
          <t>None</t>
        </is>
      </c>
      <c r="Q11" s="3">
        <v>0</v>
      </c>
      <c r="R11" t="inlineStr">
        <is>
          <t>VAT 5%</t>
        </is>
      </c>
      <c r="S11" t="inlineStr">
        <is>
          <t>Heavy item delivery</t>
        </is>
      </c>
      <c r="T11" s="3">
        <v>80</v>
      </c>
      <c r="U11" s="3">
        <v>500</v>
      </c>
      <c r="V11" s="2">
        <v>46150</v>
      </c>
      <c r="W11" t="inlineStr">
        <is>
          <t>Bank Transfer</t>
        </is>
      </c>
      <c r="X11" t="inlineStr">
        <is>
          <t>Emirates NBD</t>
        </is>
      </c>
      <c r="Y11" t="inlineStr">
        <is>
          <t>Deposit paid</t>
        </is>
      </c>
      <c r="Z11" t="inlineStr">
        <is>
          <t>Store fixture upgrade</t>
        </is>
      </c>
      <c r="L11" s="3">
        <f>J11*(1-K11/100)</f>
      </c>
      <c r="M11" s="3">
        <f>H11*L11</f>
      </c>
      <c r="O11" s="3">
        <f>L11*(1+N11/100)*1.05</f>
      </c>
      <c r="AA11" s="3">
        <f>MAX(0,(M11-Q11)+R11+T11-U11)</f>
      </c>
    </row>
    <row r="12">
      <c r="A12" t="inlineStr">
        <is>
          <t>PUR-2026-0008</t>
        </is>
      </c>
      <c r="B12" s="2">
        <v>46150</v>
      </c>
      <c r="C12" t="inlineStr">
        <is>
          <t>Royal Beverage LLC</t>
        </is>
      </c>
      <c r="D12" t="inlineStr">
        <is>
          <t>Jebel Ali, Dubai</t>
        </is>
      </c>
      <c r="E12" t="inlineStr">
        <is>
          <t>Net 15</t>
        </is>
      </c>
      <c r="F12" t="inlineStr">
        <is>
          <t>Mineral Water 500ml</t>
        </is>
      </c>
      <c r="G12" t="inlineStr">
        <is>
          <t>Beverages</t>
        </is>
      </c>
      <c r="H12" s="3">
        <v>75</v>
      </c>
      <c r="I12" t="inlineStr">
        <is>
          <t>CTN</t>
        </is>
      </c>
      <c r="J12" s="3">
        <v>11.5</v>
      </c>
      <c r="K12" s="3">
        <v>0</v>
      </c>
      <c r="N12" s="3">
        <v>16</v>
      </c>
      <c r="P12" t="inlineStr">
        <is>
          <t>Percentage</t>
        </is>
      </c>
      <c r="Q12" s="3">
        <v>2</v>
      </c>
      <c r="R12" t="inlineStr">
        <is>
          <t>VAT 5%</t>
        </is>
      </c>
      <c r="S12" t="inlineStr">
        <is>
          <t>Warehouse delivery</t>
        </is>
      </c>
      <c r="T12" s="3">
        <v>25</v>
      </c>
      <c r="U12" s="3">
        <v>400</v>
      </c>
      <c r="V12" s="2">
        <v>46150</v>
      </c>
      <c r="W12" t="inlineStr">
        <is>
          <t>Card</t>
        </is>
      </c>
      <c r="X12" t="inlineStr">
        <is>
          <t>FAB</t>
        </is>
      </c>
      <c r="Y12" t="inlineStr">
        <is>
          <t/>
        </is>
      </c>
      <c r="Z12" t="inlineStr">
        <is>
          <t>Beverage restock</t>
        </is>
      </c>
      <c r="L12" s="3">
        <f>J12*(1-K12/100)</f>
      </c>
      <c r="M12" s="3">
        <f>H12*L12</f>
      </c>
      <c r="O12" s="3">
        <f>L12*(1+N12/100)*1.05</f>
      </c>
      <c r="AA12" s="3">
        <f>MAX(0,(M12-Q12)+R12+T12-U12)</f>
      </c>
    </row>
    <row r="13">
      <c r="A13" t="inlineStr">
        <is>
          <t>PUR-2026-0009</t>
        </is>
      </c>
      <c r="B13" s="2">
        <v>46151</v>
      </c>
      <c r="C13" t="inlineStr">
        <is>
          <t>City Uniforms</t>
        </is>
      </c>
      <c r="D13" t="inlineStr">
        <is>
          <t>Karama, Dubai</t>
        </is>
      </c>
      <c r="E13" t="inlineStr">
        <is>
          <t>Net 30</t>
        </is>
      </c>
      <c r="F13" t="inlineStr">
        <is>
          <t>Staff Apron Black</t>
        </is>
      </c>
      <c r="G13" t="inlineStr">
        <is>
          <t>Uniforms</t>
        </is>
      </c>
      <c r="H13" s="3">
        <v>20</v>
      </c>
      <c r="I13" t="inlineStr">
        <is>
          <t>PCS</t>
        </is>
      </c>
      <c r="J13" s="3">
        <v>28.0</v>
      </c>
      <c r="K13" s="3">
        <v>3</v>
      </c>
      <c r="N13" s="3">
        <v>28</v>
      </c>
      <c r="P13" t="inlineStr">
        <is>
          <t>None</t>
        </is>
      </c>
      <c r="Q13" s="3">
        <v>0</v>
      </c>
      <c r="R13" t="inlineStr">
        <is>
          <t>VAT 5%</t>
        </is>
      </c>
      <c r="S13" t="inlineStr">
        <is>
          <t>Pickup</t>
        </is>
      </c>
      <c r="T13" s="3">
        <v>0</v>
      </c>
      <c r="U13" s="3">
        <v>0</v>
      </c>
      <c r="V13" t="inlineStr">
        <is>
          <t/>
        </is>
      </c>
      <c r="W13" t="inlineStr">
        <is>
          <t>Cash</t>
        </is>
      </c>
      <c r="X13" t="inlineStr">
        <is>
          <t>None</t>
        </is>
      </c>
      <c r="Y13" t="inlineStr">
        <is>
          <t/>
        </is>
      </c>
      <c r="Z13" t="inlineStr">
        <is>
          <t>New employee uniforms</t>
        </is>
      </c>
      <c r="L13" s="3">
        <f>J13*(1-K13/100)</f>
      </c>
      <c r="M13" s="3">
        <f>H13*L13</f>
      </c>
      <c r="O13" s="3">
        <f>L13*(1+N13/100)*1.05</f>
      </c>
      <c r="AA13" s="3">
        <f>MAX(0,(M13-Q13)+R13+T13-U13)</f>
      </c>
    </row>
    <row r="14">
      <c r="A14" t="inlineStr">
        <is>
          <t>PUR-2026-0010</t>
        </is>
      </c>
      <c r="B14" s="2">
        <v>46152</v>
      </c>
      <c r="C14" t="inlineStr">
        <is>
          <t>Alpha Electronics</t>
        </is>
      </c>
      <c r="D14" t="inlineStr">
        <is>
          <t>Dubai Silicon Oasis</t>
        </is>
      </c>
      <c r="E14" t="inlineStr">
        <is>
          <t>Net 30</t>
        </is>
      </c>
      <c r="F14" t="inlineStr">
        <is>
          <t>Thermal Receipt Printer</t>
        </is>
      </c>
      <c r="G14" t="inlineStr">
        <is>
          <t>Equipment</t>
        </is>
      </c>
      <c r="H14" s="3">
        <v>3</v>
      </c>
      <c r="I14" t="inlineStr">
        <is>
          <t>PCS</t>
        </is>
      </c>
      <c r="J14" s="3">
        <v>420.0</v>
      </c>
      <c r="K14" s="3">
        <v>0</v>
      </c>
      <c r="N14" s="3">
        <v>32</v>
      </c>
      <c r="P14" t="inlineStr">
        <is>
          <t>Fixed</t>
        </is>
      </c>
      <c r="Q14" s="3">
        <v>50</v>
      </c>
      <c r="R14" t="inlineStr">
        <is>
          <t>VAT 5%</t>
        </is>
      </c>
      <c r="S14" t="inlineStr">
        <is>
          <t>Fragile delivery</t>
        </is>
      </c>
      <c r="T14" s="3">
        <v>30</v>
      </c>
      <c r="U14" s="3">
        <v>1000</v>
      </c>
      <c r="V14" s="2">
        <v>46152</v>
      </c>
      <c r="W14" t="inlineStr">
        <is>
          <t>Bank Transfer</t>
        </is>
      </c>
      <c r="X14" t="inlineStr">
        <is>
          <t>Emirates NBD</t>
        </is>
      </c>
      <c r="Y14" t="inlineStr">
        <is>
          <t>Balance after delivery</t>
        </is>
      </c>
      <c r="Z14" t="inlineStr">
        <is>
          <t>POS hardware</t>
        </is>
      </c>
      <c r="L14" s="3">
        <f>J14*(1-K14/100)</f>
      </c>
      <c r="M14" s="3">
        <f>H14*L14</f>
      </c>
      <c r="O14" s="3">
        <f>L14*(1+N14/100)*1.05</f>
      </c>
      <c r="AA14" s="3">
        <f>MAX(0,(M14-Q14)+R14+T14-U14)</f>
      </c>
    </row>
  </sheetData>
  <autoFilter ref="A4:AA14"/>
</worksheet>
</file>

<file path=docProps/app.xml><?xml version="1.0" encoding="utf-8"?>
<Properties xmlns="http://schemas.openxmlformats.org/officeDocument/2006/extended-properties">
  <Application>TaxFlow</Application>
</Properties>
</file>

<file path=docProps/core.xml><?xml version="1.0" encoding="utf-8"?>
<cp:coreProperties xmlns:cp="http://schemas.openxmlformats.org/package/2006/metadata/core-properties"/>
</file>